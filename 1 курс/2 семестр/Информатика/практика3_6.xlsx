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3\"/>
    </mc:Choice>
  </mc:AlternateContent>
  <xr:revisionPtr revIDLastSave="0" documentId="13_ncr:1_{10975220-FE4C-430A-A5A1-B01D6661FE8C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</calcChain>
</file>

<file path=xl/sharedStrings.xml><?xml version="1.0" encoding="utf-8"?>
<sst xmlns="http://schemas.openxmlformats.org/spreadsheetml/2006/main" count="26" uniqueCount="26">
  <si>
    <t>ФИО</t>
  </si>
  <si>
    <t>Должность</t>
  </si>
  <si>
    <t>Дата приема на работу</t>
  </si>
  <si>
    <t>Арнольдов Тарас Бульбович</t>
  </si>
  <si>
    <t>Директор</t>
  </si>
  <si>
    <t>Голубков Леня Мавродиевич</t>
  </si>
  <si>
    <t>Водитель</t>
  </si>
  <si>
    <t>Барабуля Сэм Джонович</t>
  </si>
  <si>
    <t>Снабженец</t>
  </si>
  <si>
    <t>Симеоненко Жорж Жорикович</t>
  </si>
  <si>
    <t>Гл. бух.</t>
  </si>
  <si>
    <t>Рыбак Карп Карпович</t>
  </si>
  <si>
    <t>Инженер</t>
  </si>
  <si>
    <t>Графченко Дракул Дракулович</t>
  </si>
  <si>
    <t>Менеджер</t>
  </si>
  <si>
    <t>Кара-Мурза Лев Филиппович</t>
  </si>
  <si>
    <t>Охранник</t>
  </si>
  <si>
    <t>Сидоров Петр Иванович</t>
  </si>
  <si>
    <t>Техник</t>
  </si>
  <si>
    <t>Прекрасная Василиса Ивановна</t>
  </si>
  <si>
    <t>Секретарь</t>
  </si>
  <si>
    <t>Поппинс Мэри Джоновна</t>
  </si>
  <si>
    <t>Психолог</t>
  </si>
  <si>
    <t>Сведения о сотрудниках фирмы "Рога и копыта"</t>
  </si>
  <si>
    <t>Стаж работы</t>
  </si>
  <si>
    <t>Тариф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</si>
</sst>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Сравнение стажа сотрудников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Лист1!$A$3:$A$12</c:f>
              <c:strCache>
                <c:ptCount val="10"/>
                <c:pt idx="0">
                  <c:v>Арнольдов Тарас Бульбович</c:v>
                </c:pt>
                <c:pt idx="1">
                  <c:v>Голубков Леня Мавродиевич</c:v>
                </c:pt>
                <c:pt idx="2">
                  <c:v>Барабуля Сэм Джонович</c:v>
                </c:pt>
                <c:pt idx="3">
                  <c:v>Симеоненко Жорж Жорикович</c:v>
                </c:pt>
                <c:pt idx="4">
                  <c:v>Рыбак Карп Карпович</c:v>
                </c:pt>
                <c:pt idx="5">
                  <c:v>Графченко Дракул Дракулович</c:v>
                </c:pt>
                <c:pt idx="6">
                  <c:v>Кара-Мурза Лев Филиппович</c:v>
                </c:pt>
                <c:pt idx="7">
                  <c:v>Сидоров Петр Иванович</c:v>
                </c:pt>
                <c:pt idx="8">
                  <c:v>Прекрасная Василиса Ивановна</c:v>
                </c:pt>
                <c:pt idx="9">
                  <c:v>Поппинс Мэри Джоновна</c:v>
                </c:pt>
              </c:strCache>
            </c:strRef>
          </c:cat>
          <c:val>
            <c:numRef>
              <c:f>Лист1!$D$3:$D$12</c:f>
              <c:numCache>
                <c:formatCode>0</c:formatCode>
                <c:ptCount val="10"/>
                <c:pt idx="0">
                  <c:v>22</c:v>
                </c:pt>
                <c:pt idx="1">
                  <c:v>36</c:v>
                </c:pt>
                <c:pt idx="2">
                  <c:v>27</c:v>
                </c:pt>
                <c:pt idx="3">
                  <c:v>21</c:v>
                </c:pt>
                <c:pt idx="4">
                  <c:v>30</c:v>
                </c:pt>
                <c:pt idx="5">
                  <c:v>31</c:v>
                </c:pt>
                <c:pt idx="6">
                  <c:v>36</c:v>
                </c:pt>
                <c:pt idx="7">
                  <c:v>41</c:v>
                </c:pt>
                <c:pt idx="8">
                  <c:v>22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9F1-BD05-3C51239908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1238863"/>
        <c:axId val="1601239343"/>
      </c:barChart>
      <c:catAx>
        <c:axId val="160123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1239343"/>
        <c:crosses val="autoZero"/>
        <c:auto val="1"/>
        <c:lblAlgn val="ctr"/>
        <c:lblOffset val="100"/>
        <c:noMultiLvlLbl val="0"/>
      </c:catAx>
      <c:valAx>
        <c:axId val="16012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123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11905</xdr:colOff>
      <xdr:row>0</xdr:row>
      <xdr:rowOff>173830</xdr:rowOff>
    </xdr:from>
    <xdr:to>
      <xdr:col>13</xdr:col>
      <xdr:colOff>50005</xdr:colOff>
      <xdr:row>16</xdr:row>
      <xdr:rowOff>21430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0270E77-EE64-2AA1-56E8-6BBE3BD97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D6146B-C48C-4501-93C6-BFF513C23EDD}" name="Таблица4" displayName="Таблица4" ref="A2:E12" totalsRowShown="0" headerRowDxfId="2">
  <autoFilter ref="A2:E12" xr:uid="{3AD6146B-C48C-4501-93C6-BFF513C23EDD}">
    <filterColumn colId="3">
      <customFilters>
        <customFilter operator="greaterThan" val="10"/>
      </customFilters>
    </filterColumn>
  </autoFilter>
  <tableColumns count="5">
    <tableColumn id="1" xr3:uid="{090E29A4-B257-4457-A6AF-A3442E3E2D6C}" name="ФИО"/>
    <tableColumn id="2" xr3:uid="{16D1A1F1-5634-4CD6-B503-2797324C6D54}" name="Должность"/>
    <tableColumn id="3" xr3:uid="{A52C74C7-D25A-4270-98A1-15FF7129334A}" name="Дата приема на работу" dataDxfId="3"/>
    <tableColumn id="4" xr3:uid="{289369E2-346F-43FA-A230-CD749C8BAD56}" name="Стаж работы" dataDxfId="1">
      <calculatedColumnFormula>YEAR(TODAY())-YEAR(C3)</calculatedColumnFormula>
    </tableColumn>
    <tableColumn id="5" xr3:uid="{E313068D-3EAC-4297-9C99-C83EA76D7B63}" name="Тариф" dataDxfId="0">
      <calculatedColumnFormula>IF(D3&lt;5, 1, IF(D3&lt;=10, 1.5, 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21" sqref="H21"/>
    </sheetView>
  </sheetViews>
  <sheetFormatPr defaultRowHeight="14.25" x14ac:dyDescent="0.45"/>
  <cols>
    <col min="1" max="1" width="27.3984375" bestFit="1" customWidth="1"/>
    <col min="2" max="2" width="12.33203125" bestFit="1" customWidth="1"/>
    <col min="3" max="3" width="22.59765625" bestFit="1" customWidth="1"/>
    <col min="4" max="4" width="13.6640625" bestFit="1" customWidth="1"/>
    <col min="5" max="5" width="8.265625" bestFit="1" customWidth="1"/>
  </cols>
  <sheetData>
    <row r="1" spans="1:5" x14ac:dyDescent="0.45">
      <c r="A1" s="2" t="s">
        <v>23</v>
      </c>
      <c r="B1" s="2"/>
      <c r="C1" s="2"/>
      <c r="D1" s="2"/>
      <c r="E1" s="2"/>
    </row>
    <row r="2" spans="1:5" x14ac:dyDescent="0.45">
      <c r="A2" s="3" t="s">
        <v>0</v>
      </c>
      <c r="B2" s="3" t="s">
        <v>1</v>
      </c>
      <c r="C2" s="3" t="s">
        <v>2</v>
      </c>
      <c r="D2" s="3" t="s">
        <v>24</v>
      </c>
      <c r="E2" s="3" t="s">
        <v>25</v>
      </c>
    </row>
    <row r="3" spans="1:5" x14ac:dyDescent="0.45">
      <c r="A3" t="s">
        <v>3</v>
      </c>
      <c r="B3" t="s">
        <v>4</v>
      </c>
      <c r="C3" s="1">
        <v>37998</v>
      </c>
      <c r="D3" s="4">
        <f t="shared" ref="D3:D12" ca="1" si="0">YEAR(TODAY())-YEAR(C3)</f>
        <v>22</v>
      </c>
      <c r="E3">
        <f t="shared" ref="E3:E12" ca="1" si="1">IF(D3&lt;5, 1, IF(D3&lt;=10, 1.5, 2))</f>
        <v>2</v>
      </c>
    </row>
    <row r="4" spans="1:5" x14ac:dyDescent="0.45">
      <c r="A4" t="s">
        <v>5</v>
      </c>
      <c r="B4" t="s">
        <v>6</v>
      </c>
      <c r="C4" s="1">
        <v>33108</v>
      </c>
      <c r="D4" s="4">
        <f t="shared" ca="1" si="0"/>
        <v>36</v>
      </c>
      <c r="E4">
        <f t="shared" ca="1" si="1"/>
        <v>2</v>
      </c>
    </row>
    <row r="5" spans="1:5" x14ac:dyDescent="0.45">
      <c r="A5" t="s">
        <v>7</v>
      </c>
      <c r="B5" t="s">
        <v>8</v>
      </c>
      <c r="C5" s="1">
        <v>36191</v>
      </c>
      <c r="D5" s="4">
        <f t="shared" ca="1" si="0"/>
        <v>27</v>
      </c>
      <c r="E5">
        <f t="shared" ca="1" si="1"/>
        <v>2</v>
      </c>
    </row>
    <row r="6" spans="1:5" x14ac:dyDescent="0.45">
      <c r="A6" t="s">
        <v>9</v>
      </c>
      <c r="B6" t="s">
        <v>10</v>
      </c>
      <c r="C6" s="1">
        <v>38387</v>
      </c>
      <c r="D6" s="4">
        <f t="shared" ca="1" si="0"/>
        <v>21</v>
      </c>
      <c r="E6">
        <f t="shared" ca="1" si="1"/>
        <v>2</v>
      </c>
    </row>
    <row r="7" spans="1:5" x14ac:dyDescent="0.45">
      <c r="A7" t="s">
        <v>11</v>
      </c>
      <c r="B7" t="s">
        <v>12</v>
      </c>
      <c r="C7" s="1">
        <v>35107</v>
      </c>
      <c r="D7" s="4">
        <f t="shared" ca="1" si="0"/>
        <v>30</v>
      </c>
      <c r="E7">
        <f t="shared" ca="1" si="1"/>
        <v>2</v>
      </c>
    </row>
    <row r="8" spans="1:5" x14ac:dyDescent="0.45">
      <c r="A8" t="s">
        <v>13</v>
      </c>
      <c r="B8" t="s">
        <v>14</v>
      </c>
      <c r="C8" s="1">
        <v>34799</v>
      </c>
      <c r="D8" s="4">
        <f t="shared" ca="1" si="0"/>
        <v>31</v>
      </c>
      <c r="E8">
        <f t="shared" ca="1" si="1"/>
        <v>2</v>
      </c>
    </row>
    <row r="9" spans="1:5" x14ac:dyDescent="0.45">
      <c r="A9" t="s">
        <v>15</v>
      </c>
      <c r="B9" t="s">
        <v>16</v>
      </c>
      <c r="C9" s="1">
        <v>32947</v>
      </c>
      <c r="D9" s="4">
        <f t="shared" ca="1" si="0"/>
        <v>36</v>
      </c>
      <c r="E9">
        <f t="shared" ca="1" si="1"/>
        <v>2</v>
      </c>
    </row>
    <row r="10" spans="1:5" x14ac:dyDescent="0.45">
      <c r="A10" t="s">
        <v>17</v>
      </c>
      <c r="B10" t="s">
        <v>18</v>
      </c>
      <c r="C10" s="1">
        <v>31279</v>
      </c>
      <c r="D10" s="4">
        <f t="shared" ca="1" si="0"/>
        <v>41</v>
      </c>
      <c r="E10">
        <f t="shared" ca="1" si="1"/>
        <v>2</v>
      </c>
    </row>
    <row r="11" spans="1:5" x14ac:dyDescent="0.45">
      <c r="A11" t="s">
        <v>19</v>
      </c>
      <c r="B11" t="s">
        <v>20</v>
      </c>
      <c r="C11" s="1">
        <v>38214</v>
      </c>
      <c r="D11" s="4">
        <f t="shared" ca="1" si="0"/>
        <v>22</v>
      </c>
      <c r="E11">
        <f t="shared" ca="1" si="1"/>
        <v>2</v>
      </c>
    </row>
    <row r="12" spans="1:5" x14ac:dyDescent="0.45">
      <c r="A12" t="s">
        <v>21</v>
      </c>
      <c r="B12" t="s">
        <v>22</v>
      </c>
      <c r="C12" s="1">
        <v>38729</v>
      </c>
      <c r="D12" s="4">
        <f t="shared" ca="1" si="0"/>
        <v>20</v>
      </c>
      <c r="E12">
        <f t="shared" ca="1" si="1"/>
        <v>2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2026-04-13T10:47:40Z</dcterms:modified>
</cp:coreProperties>
</file>