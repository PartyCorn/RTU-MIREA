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4\"/>
    </mc:Choice>
  </mc:AlternateContent>
  <xr:revisionPtr revIDLastSave="0" documentId="13_ncr:1_{3E2A3C74-8F7A-4928-9D1F-9C2ED635ED0A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E18" i="1"/>
  <c r="F18" i="1"/>
  <c r="C18" i="1"/>
  <c r="G8" i="1"/>
  <c r="F8" i="1"/>
  <c r="D8" i="1"/>
  <c r="E8" i="1"/>
  <c r="C8" i="1"/>
  <c r="B8" i="1"/>
  <c r="G5" i="1"/>
  <c r="G6" i="1"/>
  <c r="G7" i="1"/>
  <c r="G4" i="1"/>
</calcChain>
</file>

<file path=xl/sharedStrings.xml><?xml version="1.0" encoding="utf-8"?>
<sst xmlns="http://schemas.openxmlformats.org/spreadsheetml/2006/main" count="14" uniqueCount="14">
  <si>
    <t>Фамилия</t>
  </si>
  <si>
    <t>Голубева А.М.</t>
  </si>
  <si>
    <t>Семенов Б.Ю.</t>
  </si>
  <si>
    <t>Лавров А.К.</t>
  </si>
  <si>
    <t>Михальченко В.Д.</t>
  </si>
  <si>
    <t>Итого</t>
  </si>
  <si>
    <t>Всего</t>
  </si>
  <si>
    <t>Сумма сделки</t>
  </si>
  <si>
    <t>янв</t>
  </si>
  <si>
    <t>фев</t>
  </si>
  <si>
    <t>мар</t>
  </si>
  <si>
    <t>апр</t>
  </si>
  <si>
    <t>Количество договоров</t>
  </si>
  <si>
    <t>Продажа товаров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</si>
</sst>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1" fillId="0" borderId="4" xfId="0" applyFont="1" applyBorder="1" applyAlignment="1">
      <alignment horizontal="center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Сведения о продаже товаров по специалисту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Лист1!$A$4:$A$7</c:f>
              <c:strCache>
                <c:ptCount val="4"/>
                <c:pt idx="0">
                  <c:v>Голубева А.М.</c:v>
                </c:pt>
                <c:pt idx="1">
                  <c:v>Семенов Б.Ю.</c:v>
                </c:pt>
                <c:pt idx="2">
                  <c:v>Лавров А.К.</c:v>
                </c:pt>
                <c:pt idx="3">
                  <c:v>Михальченко В.Д.</c:v>
                </c:pt>
              </c:strCache>
            </c:strRef>
          </c:cat>
          <c:val>
            <c:numRef>
              <c:f>Лист1!$G$4:$G$7</c:f>
              <c:numCache>
                <c:formatCode>General</c:formatCode>
                <c:ptCount val="4"/>
                <c:pt idx="0">
                  <c:v>25300</c:v>
                </c:pt>
                <c:pt idx="1">
                  <c:v>20900</c:v>
                </c:pt>
                <c:pt idx="2">
                  <c:v>17920</c:v>
                </c:pt>
                <c:pt idx="3">
                  <c:v>18490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6-41F7-9E3F-E28A8B6BA1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Сведения о проданных товарах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EDAED67-DE09-4322-9EC0-50590A214109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C91-4443-B078-D8E4536531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CBC21E-6440-45E9-8BB2-7084463A25A4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C91-4443-B078-D8E4536531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C34EC9-B6C7-4475-978C-DCA2BBEEA048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C91-4443-B078-D8E4536531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F01938-EF65-4970-B2D8-FF878C4B3613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C91-4443-B078-D8E4536531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Лист1!$C$3:$F$3</c:f>
              <c:strCache>
                <c:ptCount val="4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</c:strCache>
            </c:strRef>
          </c:cat>
          <c:val>
            <c:numRef>
              <c:f>Лист1!$C$8:$F$8</c:f>
              <c:numCache>
                <c:formatCode>General</c:formatCode>
                <c:ptCount val="4"/>
                <c:pt idx="0">
                  <c:v>23300</c:v>
                </c:pt>
                <c:pt idx="1">
                  <c:v>13850</c:v>
                </c:pt>
                <c:pt idx="2">
                  <c:v>24150</c:v>
                </c:pt>
                <c:pt idx="3">
                  <c:v>21310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Лист1!$C$18:$F$18</c15:f>
                <c15:dlblRangeCache>
                  <c:ptCount val="4"/>
                  <c:pt idx="0">
                    <c:v>28,2%</c:v>
                  </c:pt>
                  <c:pt idx="1">
                    <c:v>16,8%</c:v>
                  </c:pt>
                  <c:pt idx="2">
                    <c:v>29,2%</c:v>
                  </c:pt>
                  <c:pt idx="3">
                    <c:v>25,8%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C91-4443-B078-D8E4536531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8416768"/>
        <c:axId val="771193712"/>
      </c:barChart>
      <c:catAx>
        <c:axId val="11584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1193712"/>
        <c:crosses val="autoZero"/>
        <c:auto val="1"/>
        <c:lblAlgn val="ctr"/>
        <c:lblOffset val="100"/>
        <c:noMultiLvlLbl val="0"/>
      </c:catAx>
      <c:valAx>
        <c:axId val="7711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841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645699</xdr:colOff>
      <xdr:row>0</xdr:row>
      <xdr:rowOff>171035</xdr:rowOff>
    </xdr:from>
    <xdr:to>
      <xdr:col>15</xdr:col>
      <xdr:colOff>27264</xdr:colOff>
      <xdr:row>16</xdr:row>
      <xdr:rowOff>42931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F03D07-F8AC-82C5-595F-03B2FD15E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7248</xdr:colOff>
      <xdr:row>16</xdr:row>
      <xdr:rowOff>171036</xdr:rowOff>
    </xdr:from>
    <xdr:to>
      <xdr:col>15</xdr:col>
      <xdr:colOff>37617</xdr:colOff>
      <xdr:row>32</xdr:row>
      <xdr:rowOff>42931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A5D386B-D588-A5B8-0158-8F90C4318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38" workbookViewId="0">
      <selection activeCell="D18" sqref="D18"/>
    </sheetView>
  </sheetViews>
  <sheetFormatPr defaultRowHeight="14.25" x14ac:dyDescent="0.45"/>
  <cols>
    <col min="1" max="1" width="15.796875" bestFit="1" customWidth="1"/>
    <col min="2" max="2" width="11.46484375" customWidth="1"/>
    <col min="3" max="6" width="6.59765625" customWidth="1"/>
  </cols>
  <sheetData>
    <row r="1" spans="1:7" ht="14.25" customHeight="1" x14ac:dyDescent="0.45">
      <c r="A1" s="10" t="s">
        <v>13</v>
      </c>
      <c r="B1" s="10"/>
      <c r="C1" s="10"/>
      <c r="D1" s="10"/>
      <c r="E1" s="10"/>
      <c r="F1" s="10"/>
      <c r="G1" s="10"/>
    </row>
    <row r="2" spans="1:7" x14ac:dyDescent="0.45">
      <c r="A2" s="3" t="s">
        <v>0</v>
      </c>
      <c r="B2" s="4" t="s">
        <v>12</v>
      </c>
      <c r="C2" s="5" t="s">
        <v>7</v>
      </c>
      <c r="D2" s="5"/>
      <c r="E2" s="5"/>
      <c r="F2" s="5"/>
      <c r="G2" s="6" t="s">
        <v>6</v>
      </c>
    </row>
    <row r="3" spans="1:7" x14ac:dyDescent="0.45">
      <c r="A3" s="9"/>
      <c r="B3" s="4"/>
      <c r="C3" s="8" t="s">
        <v>8</v>
      </c>
      <c r="D3" s="8" t="s">
        <v>9</v>
      </c>
      <c r="E3" s="8" t="s">
        <v>10</v>
      </c>
      <c r="F3" s="8" t="s">
        <v>11</v>
      </c>
      <c r="G3" s="7"/>
    </row>
    <row r="4" spans="1:7" x14ac:dyDescent="0.45">
      <c r="A4" s="1" t="s">
        <v>1</v>
      </c>
      <c r="B4" s="2">
        <v>12</v>
      </c>
      <c r="C4" s="2">
        <v>7800</v>
      </c>
      <c r="D4" s="2">
        <v>6050</v>
      </c>
      <c r="E4" s="2">
        <v>6550</v>
      </c>
      <c r="F4" s="2">
        <v>4900</v>
      </c>
      <c r="G4" s="2">
        <f>SUM(C4:F4)</f>
        <v>25300</v>
      </c>
    </row>
    <row r="5" spans="1:7" x14ac:dyDescent="0.45">
      <c r="A5" s="1" t="s">
        <v>2</v>
      </c>
      <c r="B5" s="2">
        <v>45</v>
      </c>
      <c r="C5" s="2">
        <v>5000</v>
      </c>
      <c r="D5" s="2">
        <v>2300</v>
      </c>
      <c r="E5" s="2">
        <v>7600</v>
      </c>
      <c r="F5" s="2">
        <v>6000</v>
      </c>
      <c r="G5" s="2">
        <f t="shared" ref="G5:G7" si="0">SUM(C5:F5)</f>
        <v>20900</v>
      </c>
    </row>
    <row r="6" spans="1:7" x14ac:dyDescent="0.45">
      <c r="A6" s="1" t="s">
        <v>3</v>
      </c>
      <c r="B6" s="2">
        <v>68</v>
      </c>
      <c r="C6" s="2">
        <v>3500</v>
      </c>
      <c r="D6" s="2">
        <v>2000</v>
      </c>
      <c r="E6" s="2">
        <v>9000</v>
      </c>
      <c r="F6" s="2">
        <v>3420</v>
      </c>
      <c r="G6" s="2">
        <f t="shared" si="0"/>
        <v>17920</v>
      </c>
    </row>
    <row r="7" spans="1:7" x14ac:dyDescent="0.45">
      <c r="A7" s="1" t="s">
        <v>4</v>
      </c>
      <c r="B7" s="2">
        <v>33</v>
      </c>
      <c r="C7" s="2">
        <v>7000</v>
      </c>
      <c r="D7" s="2">
        <v>3500</v>
      </c>
      <c r="E7" s="2">
        <v>1000</v>
      </c>
      <c r="F7" s="2">
        <v>6990</v>
      </c>
      <c r="G7" s="2">
        <f t="shared" si="0"/>
        <v>18490</v>
      </c>
    </row>
    <row r="8" spans="1:7" x14ac:dyDescent="0.45">
      <c r="A8" s="3" t="s">
        <v>5</v>
      </c>
      <c r="B8" s="8">
        <f>SUM(B4:B7)</f>
        <v>158</v>
      </c>
      <c r="C8" s="8">
        <f>SUM(C4:C7)</f>
        <v>23300</v>
      </c>
      <c r="D8" s="8">
        <f t="shared" ref="D8:E8" si="1">SUM(D4:D7)</f>
        <v>13850</v>
      </c>
      <c r="E8" s="8">
        <f t="shared" si="1"/>
        <v>24150</v>
      </c>
      <c r="F8" s="8">
        <f>SUM(F4:F7)</f>
        <v>21310</v>
      </c>
      <c r="G8" s="8">
        <f>SUM(G4:G7)</f>
        <v>82610</v>
      </c>
    </row>
    <row r="18" spans="3:6" x14ac:dyDescent="0.45">
      <c r="C18" s="11">
        <f>C8/$G$8</f>
        <v>0.28204817818666023</v>
      </c>
      <c r="D18" s="11">
        <f t="shared" ref="D18:F18" si="2">D8/$G$8</f>
        <v>0.16765524754872291</v>
      </c>
      <c r="E18" s="11">
        <f t="shared" si="2"/>
        <v>0.29233748940806198</v>
      </c>
      <c r="F18" s="11">
        <f t="shared" si="2"/>
        <v>0.25795908485655489</v>
      </c>
    </row>
  </sheetData>
  <mergeCells count="4">
    <mergeCell ref="C2:F2"/>
    <mergeCell ref="B2:B3"/>
    <mergeCell ref="G2:G3"/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2026-04-27T14:53:28Z</dcterms:modified>
</cp:coreProperties>
</file>